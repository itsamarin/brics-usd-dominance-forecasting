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USD_Dominance_Analysis" sheetId="1" state="visible" r:id="rId1"/>
    <sheet xmlns:r="http://schemas.openxmlformats.org/officeDocument/2006/relationships" name="BTC_Forecast" sheetId="2" state="visible" r:id="rId2"/>
    <sheet xmlns:r="http://schemas.openxmlformats.org/officeDocument/2006/relationships" name="Gold_BRICS_Forecast" sheetId="3" state="visible" r:id="rId3"/>
    <sheet xmlns:r="http://schemas.openxmlformats.org/officeDocument/2006/relationships" name="Oil_BRICS_Forecas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366092"/>
      <sz val="16"/>
    </font>
    <font>
      <name val="Cambria"/>
      <charset val="1"/>
      <family val="0"/>
      <b val="1"/>
      <color rgb="FFC00000"/>
      <sz val="13"/>
    </font>
    <font>
      <name val="Cambria"/>
      <charset val="1"/>
      <family val="0"/>
      <b val="1"/>
      <color rgb="FF366092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0"/>
    </font>
    <font>
      <name val="Cambria"/>
      <charset val="1"/>
      <family val="0"/>
      <b val="1"/>
      <color rgb="FFC00000"/>
      <sz val="11"/>
    </font>
    <font>
      <name val="Cambria"/>
      <charset val="1"/>
      <family val="0"/>
      <b val="1"/>
      <color rgb="FFC00000"/>
      <sz val="10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C00000"/>
      <sz val="12"/>
    </font>
    <font>
      <name val="Cambria"/>
      <charset val="1"/>
      <family val="0"/>
      <color rgb="FF006100"/>
      <sz val="10"/>
    </font>
    <font>
      <name val="Cambria"/>
      <charset val="1"/>
      <family val="0"/>
      <color rgb="FF9C0006"/>
      <sz val="10"/>
    </font>
    <font>
      <name val="Cambria"/>
      <charset val="1"/>
      <family val="0"/>
      <b val="1"/>
      <color rgb="FF366092"/>
      <sz val="14"/>
    </font>
    <font>
      <name val="Cambria"/>
      <charset val="1"/>
      <family val="0"/>
      <b val="1"/>
      <sz val="12"/>
    </font>
    <font>
      <name val="Cambria"/>
      <charset val="1"/>
      <family val="0"/>
      <color rgb="FF000000"/>
      <sz val="10"/>
    </font>
    <font>
      <name val="Cambria"/>
      <charset val="1"/>
      <family val="0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366092"/>
        <bgColor rgb="FF1F4E78"/>
      </patternFill>
    </fill>
    <fill>
      <patternFill patternType="solid">
        <fgColor rgb="FFFFC7CE"/>
        <bgColor rgb="FFFFE699"/>
      </patternFill>
    </fill>
    <fill>
      <patternFill patternType="solid">
        <fgColor rgb="FFFFE699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Bitcoin USD Trading Volume - 3-Month MA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'BTC_Forecast'!C5</f>
            </strRef>
          </tx>
          <spPr>
            <a:ln xmlns:a="http://schemas.openxmlformats.org/drawingml/2006/main" w="2.2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'BTC_Forecast'!$B$6:$B$32</f>
            </numRef>
          </cat>
          <val>
            <numRef>
              <f>'BTC_Forecast'!$C$6:$C$32</f>
            </numRef>
          </val>
        </ser>
        <ser>
          <idx val="1"/>
          <order val="1"/>
          <tx>
            <strRef>
              <f>'BTC_Forecast'!D5</f>
            </strRef>
          </tx>
          <spPr>
            <a:ln xmlns:a="http://schemas.openxmlformats.org/drawingml/2006/main" w="2.25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'BTC_Forecast'!$D$6:$D$32</f>
            </numRef>
          </val>
        </ser>
        <ser>
          <idx val="2"/>
          <order val="2"/>
          <tx>
            <strRef>
              <f>'BTC_Forecast'!E5</f>
            </strRef>
          </tx>
          <spPr>
            <a:ln xmlns:a="http://schemas.openxmlformats.org/drawingml/2006/main" w="3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'BTC_Forecast'!$E$6:$E$32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Trading Volume (BTC)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BRICS Gold Imports (Quantity) - 3-Month MA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'Gold_BRICS_Forecast'!C5</f>
            </strRef>
          </tx>
          <spPr>
            <a:ln xmlns:a="http://schemas.openxmlformats.org/drawingml/2006/main" w="2.25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'Gold_BRICS_Forecast'!$B$6:$B$32</f>
            </numRef>
          </cat>
          <val>
            <numRef>
              <f>'Gold_BRICS_Forecast'!$C$6:$C$32</f>
            </numRef>
          </val>
        </ser>
        <ser>
          <idx val="1"/>
          <order val="1"/>
          <tx>
            <strRef>
              <f>'Gold_BRICS_Forecast'!E5</f>
            </strRef>
          </tx>
          <spPr>
            <a:ln xmlns:a="http://schemas.openxmlformats.org/drawingml/2006/main" w="3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'Gold_BRICS_Forecast'!$E$6:$E$32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BRICS Gold Imports (Value USD) - 3-Month MA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'Gold_BRICS_Forecast'!D5</f>
            </strRef>
          </tx>
          <spPr>
            <a:ln xmlns:a="http://schemas.openxmlformats.org/drawingml/2006/main" w="2.25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'Gold_BRICS_Forecast'!$B$6:$B$32</f>
            </numRef>
          </cat>
          <val>
            <numRef>
              <f>'Gold_BRICS_Forecast'!$D$6:$D$32</f>
            </numRef>
          </val>
        </ser>
        <ser>
          <idx val="1"/>
          <order val="1"/>
          <tx>
            <strRef>
              <f>'Gold_BRICS_Forecast'!F5</f>
            </strRef>
          </tx>
          <spPr>
            <a:ln xmlns:a="http://schemas.openxmlformats.org/drawingml/2006/main" w="3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'Gold_BRICS_Forecast'!$F$6:$F$32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BRICS Crude Oil Imports (Quantity) - 3-Month MA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'Oil_BRICS_Forecast'!C5</f>
            </strRef>
          </tx>
          <spPr>
            <a:ln xmlns:a="http://schemas.openxmlformats.org/drawingml/2006/main" w="2.2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'Oil_BRICS_Forecast'!$B$6:$B$32</f>
            </numRef>
          </cat>
          <val>
            <numRef>
              <f>'Oil_BRICS_Forecast'!$C$6:$C$32</f>
            </numRef>
          </val>
        </ser>
        <ser>
          <idx val="1"/>
          <order val="1"/>
          <tx>
            <strRef>
              <f>'Oil_BRICS_Forecast'!E5</f>
            </strRef>
          </tx>
          <spPr>
            <a:ln xmlns:a="http://schemas.openxmlformats.org/drawingml/2006/main" w="3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'Oil_BRICS_Forecast'!$E$6:$E$32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BRICS Crude Oil Imports (Value USD) - 3-Month MA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'Oil_BRICS_Forecast'!D5</f>
            </strRef>
          </tx>
          <spPr>
            <a:ln xmlns:a="http://schemas.openxmlformats.org/drawingml/2006/main" w="2.2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'Oil_BRICS_Forecast'!$B$6:$B$32</f>
            </numRef>
          </cat>
          <val>
            <numRef>
              <f>'Oil_BRICS_Forecast'!$D$6:$D$32</f>
            </numRef>
          </val>
        </ser>
        <ser>
          <idx val="1"/>
          <order val="1"/>
          <tx>
            <strRef>
              <f>'Oil_BRICS_Forecast'!F5</f>
            </strRef>
          </tx>
          <spPr>
            <a:ln xmlns:a="http://schemas.openxmlformats.org/drawingml/2006/main" w="3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'Oil_BRICS_Forecast'!$F$6:$F$32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9" min="1" max="1"/>
    <col width="20" customWidth="1" style="29" min="2" max="3"/>
    <col width="30" customWidth="1" style="29" min="4" max="4"/>
    <col width="15" customWidth="1" style="29" min="5" max="6"/>
  </cols>
  <sheetData>
    <row r="1" ht="19.7" customHeight="1" s="30">
      <c r="A1" s="31" t="inlineStr">
        <is>
          <t>SECTION D: PREDICTIVE ANALYSIS SUMMARY</t>
        </is>
      </c>
    </row>
    <row r="2" ht="16.15" customHeight="1" s="30">
      <c r="A2" s="32" t="inlineStr">
        <is>
          <t>Will USD Remain the Dominant Global Currency Post-July 2027?</t>
        </is>
      </c>
    </row>
    <row r="4" ht="15" customHeight="1" s="30">
      <c r="A4" s="33" t="inlineStr">
        <is>
          <t>EXECUTIVE SUMMARY</t>
        </is>
      </c>
    </row>
    <row r="5" ht="15" customHeight="1" s="30">
      <c r="A5" s="34" t="inlineStr">
        <is>
          <t>Based on 3-month moving average forecasts across BTC, Gold, and Oil:</t>
        </is>
      </c>
    </row>
    <row r="6" ht="15" customHeight="1" s="30">
      <c r="B6" s="29" t="n"/>
    </row>
    <row r="7" ht="15" customHeight="1" s="30">
      <c r="A7" s="35" t="inlineStr">
        <is>
          <t>1. BTC Trading Volume Trends:</t>
        </is>
      </c>
      <c r="B7" s="35" t="inlineStr">
        <is>
          <t>USD maintains 60-70% dominance in BTC trading volume</t>
        </is>
      </c>
    </row>
    <row r="8" ht="15" customHeight="1" s="30">
      <c r="B8" s="29" t="inlineStr">
        <is>
          <t xml:space="preserve">   • Forecast shows stable USD-BTC trading patterns through Q1 2026</t>
        </is>
      </c>
    </row>
    <row r="9" ht="15" customHeight="1" s="30">
      <c r="B9" s="29" t="inlineStr">
        <is>
          <t xml:space="preserve">   • Alternative currencies (EUR, KRW) show modest but not disruptive growth</t>
        </is>
      </c>
    </row>
    <row r="10" ht="15" customHeight="1" s="30">
      <c r="B10" s="29" t="n"/>
    </row>
    <row r="11" ht="15" customHeight="1" s="30">
      <c r="A11" s="35" t="inlineStr">
        <is>
          <t>2. BRICS Gold Accumulation:</t>
        </is>
      </c>
      <c r="B11" s="35" t="inlineStr">
        <is>
          <t>Accelerating reserves signal USD hedging strategy</t>
        </is>
      </c>
    </row>
    <row r="12" ht="15" customHeight="1" s="30">
      <c r="B12" s="29" t="inlineStr">
        <is>
          <t xml:space="preserve">   • BRICS gold imports forecast to continue rising (+8-12% next 3 months)</t>
        </is>
      </c>
    </row>
    <row r="13" ht="15" customHeight="1" s="30">
      <c r="B13" s="29" t="inlineStr">
        <is>
          <t xml:space="preserve">   • Central bank diversification away from USD assets is evident</t>
        </is>
      </c>
    </row>
    <row r="14" ht="15" customHeight="1" s="30">
      <c r="B14" s="29" t="n"/>
    </row>
    <row r="15" ht="15" customHeight="1" s="30">
      <c r="A15" s="35" t="inlineStr">
        <is>
          <t>3. BRICS Oil Imports:</t>
        </is>
      </c>
      <c r="B15" s="35" t="inlineStr">
        <is>
          <t>Energy trade increasingly settling outside USD</t>
        </is>
      </c>
    </row>
    <row r="16" ht="15" customHeight="1" s="30">
      <c r="B16" s="29" t="inlineStr">
        <is>
          <t xml:space="preserve">   • China/India petroyuan settlements growing but still minority share</t>
        </is>
      </c>
    </row>
    <row r="17" ht="15" customHeight="1" s="30">
      <c r="B17" s="29" t="inlineStr">
        <is>
          <t xml:space="preserve">   • Forecast shows continued high oil demand from BRICS nations</t>
        </is>
      </c>
    </row>
    <row r="18" ht="15" customHeight="1" s="30">
      <c r="B18" s="29" t="n"/>
    </row>
    <row r="19" ht="15" customHeight="1" s="30">
      <c r="A19" s="36" t="inlineStr">
        <is>
          <t>CONCLUSION:</t>
        </is>
      </c>
      <c r="B19" s="37" t="inlineStr">
        <is>
          <t>USD will likely remain dominant through 2027, but its monopoly is weakening</t>
        </is>
      </c>
    </row>
    <row r="20" ht="15" customHeight="1" s="30">
      <c r="B20" s="29" t="inlineStr">
        <is>
          <t xml:space="preserve">   • Short-term (2025-2027): USD dominance continues but erodes 5-10%</t>
        </is>
      </c>
    </row>
    <row r="21" ht="15" customHeight="1" s="30">
      <c r="B21" s="29" t="inlineStr">
        <is>
          <t xml:space="preserve">   • Medium-term (2027-2030): Multi-currency system emerges with USD at ~50-60%</t>
        </is>
      </c>
    </row>
    <row r="22" ht="15" customHeight="1" s="30">
      <c r="B22" s="29" t="inlineStr">
        <is>
          <t xml:space="preserve">   • Key trigger: Successful BRICS payment system launch could accelerate shift</t>
        </is>
      </c>
    </row>
    <row r="25" ht="15" customHeight="1" s="30">
      <c r="A25" s="33" t="inlineStr">
        <is>
          <t>FORECAST METHODOLOGY</t>
        </is>
      </c>
    </row>
    <row r="26" ht="15" customHeight="1" s="30">
      <c r="A26" s="38" t="inlineStr">
        <is>
          <t>Technique: 3-Month Simple Moving Average (SMA)</t>
        </is>
      </c>
    </row>
    <row r="27" ht="15" customHeight="1" s="30">
      <c r="A27" s="29" t="inlineStr">
        <is>
          <t>• Takes average of last 3 months to smooth volatility and identify trends</t>
        </is>
      </c>
    </row>
    <row r="28" ht="15" customHeight="1" s="30">
      <c r="A28" s="29" t="inlineStr">
        <is>
          <t>• Formula: Forecast = (Month-3 + Month-2 + Month-1) / 3</t>
        </is>
      </c>
    </row>
    <row r="29" ht="15" customHeight="1" s="30">
      <c r="A29" s="29" t="inlineStr">
        <is>
          <t>• Assumes recent patterns continue in near term</t>
        </is>
      </c>
    </row>
    <row r="30" ht="15" customHeight="1" s="30">
      <c r="A30" s="29" t="n"/>
    </row>
    <row r="31" ht="15" customHeight="1" s="30">
      <c r="A31" s="38" t="inlineStr">
        <is>
          <t>Data Sources:</t>
        </is>
      </c>
    </row>
    <row r="32" ht="15" customHeight="1" s="30">
      <c r="A32" s="29" t="inlineStr">
        <is>
          <t>• Bitcoin: Trading volume by currency (2020-2025) from Bitcoinity.org</t>
        </is>
      </c>
    </row>
    <row r="33" ht="15" customHeight="1" s="30">
      <c r="A33" s="29" t="inlineStr">
        <is>
          <t>• Gold: UN Comtrade import data for BRICS vs US/EU (2021-2025)</t>
        </is>
      </c>
    </row>
    <row r="34" ht="15" customHeight="1" s="30">
      <c r="A34" s="29" t="inlineStr">
        <is>
          <t>• Oil: UN Comtrade crude oil import data for BRICS vs US/EU (2021-2025)</t>
        </is>
      </c>
    </row>
    <row r="35" ht="15" customHeight="1" s="30">
      <c r="A35" s="29" t="n"/>
    </row>
    <row r="36" ht="15" customHeight="1" s="30">
      <c r="A36" s="38" t="inlineStr">
        <is>
          <t>Limitations:</t>
        </is>
      </c>
    </row>
    <row r="37" ht="15" customHeight="1" s="30">
      <c r="A37" s="29" t="inlineStr">
        <is>
          <t>• Simple moving average cannot predict sudden shocks or policy changes</t>
        </is>
      </c>
    </row>
    <row r="38" ht="15" customHeight="1" s="30">
      <c r="A38" s="29" t="inlineStr">
        <is>
          <t>• Does not account for geopolitical events (wars, sanctions, BRICS expansion)</t>
        </is>
      </c>
    </row>
    <row r="39" ht="15" customHeight="1" s="30">
      <c r="A39" s="29" t="inlineStr">
        <is>
          <t>• Linear extrapolation may miss accelerating trends or reversals</t>
        </is>
      </c>
    </row>
    <row r="42" ht="15" customHeight="1" s="30">
      <c r="A42" s="33" t="inlineStr">
        <is>
          <t>KEY INDICATORS DASHBOARD</t>
        </is>
      </c>
    </row>
    <row r="43" ht="15" customHeight="1" s="30">
      <c r="A43" s="39" t="inlineStr">
        <is>
          <t>Indicator</t>
        </is>
      </c>
      <c r="B43" s="39" t="inlineStr">
        <is>
          <t>Current Trend</t>
        </is>
      </c>
      <c r="C43" s="39" t="inlineStr">
        <is>
          <t>Q1 2026 Forecast</t>
        </is>
      </c>
      <c r="D43" s="39" t="inlineStr">
        <is>
          <t>Impact on USD</t>
        </is>
      </c>
    </row>
    <row r="44" ht="15" customHeight="1" s="30">
      <c r="A44" s="29" t="inlineStr">
        <is>
          <t>BTC USD Trading %</t>
        </is>
      </c>
      <c r="B44" s="29" t="inlineStr">
        <is>
          <t>Stable 60-70%</t>
        </is>
      </c>
      <c r="C44" s="29" t="inlineStr">
        <is>
          <t>Stable 60-70%</t>
        </is>
      </c>
      <c r="D44" s="29" t="inlineStr">
        <is>
          <t>Neutral - USD holds BTC gateway</t>
        </is>
      </c>
    </row>
    <row r="45" ht="15" customHeight="1" s="30">
      <c r="A45" s="29" t="inlineStr">
        <is>
          <t>BRICS Gold Reserves</t>
        </is>
      </c>
      <c r="B45" s="29" t="inlineStr">
        <is>
          <t>Rising +10%/yr</t>
        </is>
      </c>
      <c r="C45" s="29" t="inlineStr">
        <is>
          <t>Continue Rising</t>
        </is>
      </c>
      <c r="D45" s="40" t="inlineStr">
        <is>
          <t>Negative - Diversification</t>
        </is>
      </c>
    </row>
    <row r="46" ht="15" customHeight="1" s="30">
      <c r="A46" s="29" t="inlineStr">
        <is>
          <t>BRICS Oil Imports</t>
        </is>
      </c>
      <c r="B46" s="29" t="inlineStr">
        <is>
          <t>Growing +5%/yr</t>
        </is>
      </c>
      <c r="C46" s="29" t="inlineStr">
        <is>
          <t>Sustained Growth</t>
        </is>
      </c>
      <c r="D46" s="40" t="inlineStr">
        <is>
          <t>Negative - Alt settlements</t>
        </is>
      </c>
    </row>
    <row r="47" ht="15" customHeight="1" s="30">
      <c r="A47" s="29" t="inlineStr">
        <is>
          <t>USD in SWIFT</t>
        </is>
      </c>
      <c r="B47" s="29" t="inlineStr">
        <is>
          <t>~42% (2024)</t>
        </is>
      </c>
      <c r="C47" s="29" t="inlineStr">
        <is>
          <t>~40% (est)</t>
        </is>
      </c>
      <c r="D47" s="40" t="inlineStr">
        <is>
          <t>Negative - Declining share</t>
        </is>
      </c>
    </row>
    <row r="48" ht="15" customHeight="1" s="30">
      <c r="A48" s="29" t="inlineStr">
        <is>
          <t>BRICS Payment System</t>
        </is>
      </c>
      <c r="B48" s="29" t="inlineStr">
        <is>
          <t>Development</t>
        </is>
      </c>
      <c r="C48" s="29" t="inlineStr">
        <is>
          <t>Early Testing</t>
        </is>
      </c>
      <c r="D48" s="40" t="inlineStr">
        <is>
          <t>Risk - Could accelerate shift</t>
        </is>
      </c>
    </row>
    <row r="51" ht="15" customHeight="1" s="30">
      <c r="A51" s="41" t="inlineStr">
        <is>
          <t>FINAL ASSESSMENT: USD DOMINANCE POST-JULY 2027</t>
        </is>
      </c>
    </row>
    <row r="52" ht="15" customHeight="1" s="30">
      <c r="A52" s="36" t="inlineStr">
        <is>
          <t>Probability: 75% - USD REMAINS DOMINANT but with REDUCED POWER</t>
        </is>
      </c>
    </row>
    <row r="53" ht="15" customHeight="1" s="30">
      <c r="A53" s="29" t="n"/>
    </row>
    <row r="54" ht="15" customHeight="1" s="30">
      <c r="A54" s="35" t="inlineStr">
        <is>
          <t>Supporting Evidence:</t>
        </is>
      </c>
    </row>
    <row r="55" ht="15" customHeight="1" s="30">
      <c r="A55" s="42" t="inlineStr">
        <is>
          <t>✓ BTC forecasts show USD maintaining crypto trading leadership</t>
        </is>
      </c>
    </row>
    <row r="56" ht="15" customHeight="1" s="30">
      <c r="A56" s="42" t="inlineStr">
        <is>
          <t>✓ No viable alternative single currency emerges by 2027</t>
        </is>
      </c>
    </row>
    <row r="57" ht="15" customHeight="1" s="30">
      <c r="A57" s="42" t="inlineStr">
        <is>
          <t>✓ US economic fundamentals still strongest globally</t>
        </is>
      </c>
    </row>
    <row r="58" ht="15" customHeight="1" s="30">
      <c r="A58" s="42" t="inlineStr">
        <is>
          <t>✓ SWIFT infrastructure deeply embedded in global trade</t>
        </is>
      </c>
    </row>
    <row r="59" ht="15" customHeight="1" s="30">
      <c r="A59" s="29" t="n"/>
    </row>
    <row r="60" ht="15" customHeight="1" s="30">
      <c r="A60" s="35" t="inlineStr">
        <is>
          <t>Concerning Trends:</t>
        </is>
      </c>
    </row>
    <row r="61" ht="15" customHeight="1" s="30">
      <c r="A61" s="43" t="inlineStr">
        <is>
          <t>⚠ BRICS gold accumulation accelerating (hedging behavior)</t>
        </is>
      </c>
    </row>
    <row r="62" ht="15" customHeight="1" s="30">
      <c r="A62" s="43" t="inlineStr">
        <is>
          <t>⚠ Alternative payment systems gaining traction</t>
        </is>
      </c>
    </row>
    <row r="63" ht="15" customHeight="1" s="30">
      <c r="A63" s="43" t="inlineStr">
        <is>
          <t>⚠ Energy markets diversifying settlement currencies</t>
        </is>
      </c>
    </row>
    <row r="64" ht="15" customHeight="1" s="30">
      <c r="A64" s="43" t="inlineStr">
        <is>
          <t>⚠ US fiscal position deteriorating (debt concerns)</t>
        </is>
      </c>
    </row>
    <row r="65" ht="15" customHeight="1" s="30">
      <c r="A65" s="29" t="n"/>
    </row>
    <row r="66" ht="15" customHeight="1" s="30">
      <c r="A66" s="35" t="inlineStr">
        <is>
          <t>Critical Timeline:</t>
        </is>
      </c>
    </row>
    <row r="67" ht="15" customHeight="1" s="30">
      <c r="A67" s="29" t="inlineStr">
        <is>
          <t>2025-2026: Status quo holds, gradual USD erosion continues</t>
        </is>
      </c>
    </row>
    <row r="68" ht="15" customHeight="1" s="30">
      <c r="A68" s="29" t="inlineStr">
        <is>
          <t>2027: BRICS payment system launch - potential inflection point</t>
        </is>
      </c>
    </row>
    <row r="69" ht="15" customHeight="1" s="30">
      <c r="A69" s="29" t="inlineStr">
        <is>
          <t>2027-2030: Multi-polar currency system likely emerges</t>
        </is>
      </c>
    </row>
    <row r="70" ht="15" customHeight="1" s="30">
      <c r="A70" s="29" t="n"/>
    </row>
    <row r="71" ht="15" customHeight="1" s="30">
      <c r="A71" s="35" t="inlineStr">
        <is>
          <t>Recommendation for Portfolio Managers:</t>
        </is>
      </c>
    </row>
    <row r="72" ht="15" customHeight="1" s="30">
      <c r="A72" s="29" t="inlineStr">
        <is>
          <t>• Maintain USD exposure but hedge with 15-25% in gold and 5-10% in alternative currencies</t>
        </is>
      </c>
    </row>
    <row r="73" ht="15" customHeight="1" s="30">
      <c r="A73" s="29" t="inlineStr">
        <is>
          <t>• Monitor BRICS payment system development closely</t>
        </is>
      </c>
    </row>
    <row r="74" ht="15" customHeight="1" s="30">
      <c r="A74" s="29" t="inlineStr">
        <is>
          <t>• Diversify across commodities (gold, oil) to hedge currency risk</t>
        </is>
      </c>
    </row>
  </sheetData>
  <mergeCells count="61">
    <mergeCell ref="A54:F54"/>
    <mergeCell ref="B7:F7"/>
    <mergeCell ref="B16:F16"/>
    <mergeCell ref="A66:F66"/>
    <mergeCell ref="A37:F37"/>
    <mergeCell ref="A27:F27"/>
    <mergeCell ref="A74:F74"/>
    <mergeCell ref="A56:F56"/>
    <mergeCell ref="B22:F22"/>
    <mergeCell ref="A26:F26"/>
    <mergeCell ref="A55:F55"/>
    <mergeCell ref="B18:F18"/>
    <mergeCell ref="A57:F57"/>
    <mergeCell ref="B21:F21"/>
    <mergeCell ref="A2:F2"/>
    <mergeCell ref="A33:F33"/>
    <mergeCell ref="B12:F12"/>
    <mergeCell ref="A71:F71"/>
    <mergeCell ref="A42:F42"/>
    <mergeCell ref="A5:F5"/>
    <mergeCell ref="B11:F11"/>
    <mergeCell ref="A32:F32"/>
    <mergeCell ref="A35:F35"/>
    <mergeCell ref="A4:F4"/>
    <mergeCell ref="B14:F14"/>
    <mergeCell ref="B8:F8"/>
    <mergeCell ref="A62:F62"/>
    <mergeCell ref="A53:F53"/>
    <mergeCell ref="B17:F17"/>
    <mergeCell ref="A29:F29"/>
    <mergeCell ref="B13:F13"/>
    <mergeCell ref="A72:F72"/>
    <mergeCell ref="A25:F25"/>
    <mergeCell ref="A38:F38"/>
    <mergeCell ref="A63:F63"/>
    <mergeCell ref="A52:F52"/>
    <mergeCell ref="A28:F28"/>
    <mergeCell ref="A68:F68"/>
    <mergeCell ref="B10:F10"/>
    <mergeCell ref="B19:F19"/>
    <mergeCell ref="A31:F31"/>
    <mergeCell ref="A67:F67"/>
    <mergeCell ref="A58:F58"/>
    <mergeCell ref="A34:F34"/>
    <mergeCell ref="A30:F30"/>
    <mergeCell ref="A39:F39"/>
    <mergeCell ref="B9:F9"/>
    <mergeCell ref="A59:F59"/>
    <mergeCell ref="A64:F64"/>
    <mergeCell ref="A73:F73"/>
    <mergeCell ref="A51:F51"/>
    <mergeCell ref="B6:F6"/>
    <mergeCell ref="A60:F60"/>
    <mergeCell ref="A36:F36"/>
    <mergeCell ref="B20:F20"/>
    <mergeCell ref="B15:F15"/>
    <mergeCell ref="A1:F1"/>
    <mergeCell ref="A70:F70"/>
    <mergeCell ref="A61:F61"/>
    <mergeCell ref="A69:F69"/>
    <mergeCell ref="A65:F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12" customWidth="1" style="29" min="2" max="2"/>
    <col width="25" customWidth="1" style="29" min="3" max="3"/>
    <col width="15" customWidth="1" style="29" min="4" max="6"/>
  </cols>
  <sheetData>
    <row r="1" ht="17.25" customHeight="1" s="30">
      <c r="A1" s="44" t="inlineStr">
        <is>
          <t>SECTION D: PREDICTIVE ANALYSIS - Bitcoin (USD) Trading Volume</t>
        </is>
      </c>
    </row>
    <row r="3" ht="15" customHeight="1" s="30">
      <c r="A3" s="45" t="inlineStr">
        <is>
          <t>3-Month Moving Average Forecast</t>
        </is>
      </c>
    </row>
    <row r="5" ht="15" customHeight="1" s="30">
      <c r="A5" s="46" t="inlineStr">
        <is>
          <t>Date</t>
        </is>
      </c>
      <c r="B5" s="46" t="inlineStr">
        <is>
          <t>Year-Month</t>
        </is>
      </c>
      <c r="C5" s="46" t="inlineStr">
        <is>
          <t>Actual BTC Volume (BTC)</t>
        </is>
      </c>
      <c r="D5" s="46" t="inlineStr">
        <is>
          <t>3-Month MA</t>
        </is>
      </c>
      <c r="E5" s="46" t="inlineStr">
        <is>
          <t>Forecast</t>
        </is>
      </c>
      <c r="F5" s="46" t="inlineStr">
        <is>
          <t>Forecast Type</t>
        </is>
      </c>
    </row>
    <row r="6" ht="15" customHeight="1" s="30">
      <c r="A6" s="47" t="n">
        <v>45292</v>
      </c>
      <c r="B6" s="29" t="inlineStr">
        <is>
          <t>2024-01</t>
        </is>
      </c>
      <c r="C6" s="48" t="n">
        <v>773514.064460454</v>
      </c>
      <c r="D6" s="48" t="n"/>
      <c r="F6" s="29" t="inlineStr">
        <is>
          <t>Historical</t>
        </is>
      </c>
    </row>
    <row r="7" ht="15" customHeight="1" s="30">
      <c r="A7" s="47" t="n">
        <v>45323</v>
      </c>
      <c r="B7" s="29" t="inlineStr">
        <is>
          <t>2024-02</t>
        </is>
      </c>
      <c r="C7" s="48" t="n">
        <v>596183.964348742</v>
      </c>
      <c r="D7" s="48" t="n"/>
      <c r="F7" s="29" t="inlineStr">
        <is>
          <t>Historical</t>
        </is>
      </c>
    </row>
    <row r="8" ht="15" customHeight="1" s="30">
      <c r="A8" s="47" t="n">
        <v>45352</v>
      </c>
      <c r="B8" s="29" t="inlineStr">
        <is>
          <t>2024-03</t>
        </is>
      </c>
      <c r="C8" s="48" t="n">
        <v>946399.448855971</v>
      </c>
      <c r="D8" s="48">
        <f>AVERAGE(C6:C8)</f>
        <v/>
      </c>
      <c r="F8" s="29" t="inlineStr">
        <is>
          <t>Historical</t>
        </is>
      </c>
    </row>
    <row r="9" ht="15" customHeight="1" s="30">
      <c r="A9" s="47" t="n">
        <v>45383</v>
      </c>
      <c r="B9" s="29" t="inlineStr">
        <is>
          <t>2024-04</t>
        </is>
      </c>
      <c r="C9" s="48" t="n">
        <v>607230.402954757</v>
      </c>
      <c r="D9" s="48">
        <f>AVERAGE(C7:C9)</f>
        <v/>
      </c>
      <c r="F9" s="29" t="inlineStr">
        <is>
          <t>Historical</t>
        </is>
      </c>
    </row>
    <row r="10" ht="15" customHeight="1" s="30">
      <c r="A10" s="47" t="n">
        <v>45413</v>
      </c>
      <c r="B10" s="29" t="inlineStr">
        <is>
          <t>2024-05</t>
        </is>
      </c>
      <c r="C10" s="48" t="n">
        <v>444711.595839504</v>
      </c>
      <c r="D10" s="48">
        <f>AVERAGE(C8:C10)</f>
        <v/>
      </c>
      <c r="F10" s="29" t="inlineStr">
        <is>
          <t>Historical</t>
        </is>
      </c>
    </row>
    <row r="11" ht="15" customHeight="1" s="30">
      <c r="A11" s="47" t="n">
        <v>45444</v>
      </c>
      <c r="B11" s="29" t="inlineStr">
        <is>
          <t>2024-06</t>
        </is>
      </c>
      <c r="C11" s="48" t="n">
        <v>383784.397199557</v>
      </c>
      <c r="D11" s="48">
        <f>AVERAGE(C9:C11)</f>
        <v/>
      </c>
      <c r="F11" s="29" t="inlineStr">
        <is>
          <t>Historical</t>
        </is>
      </c>
    </row>
    <row r="12" ht="15" customHeight="1" s="30">
      <c r="A12" s="47" t="n">
        <v>45474</v>
      </c>
      <c r="B12" s="29" t="inlineStr">
        <is>
          <t>2024-07</t>
        </is>
      </c>
      <c r="C12" s="48" t="n">
        <v>479047.856574438</v>
      </c>
      <c r="D12" s="48">
        <f>AVERAGE(C10:C12)</f>
        <v/>
      </c>
      <c r="F12" s="29" t="inlineStr">
        <is>
          <t>Historical</t>
        </is>
      </c>
    </row>
    <row r="13" ht="15" customHeight="1" s="30">
      <c r="A13" s="47" t="n">
        <v>45505</v>
      </c>
      <c r="B13" s="29" t="inlineStr">
        <is>
          <t>2024-08</t>
        </is>
      </c>
      <c r="C13" s="48" t="n">
        <v>529331.900679278</v>
      </c>
      <c r="D13" s="48">
        <f>AVERAGE(C11:C13)</f>
        <v/>
      </c>
      <c r="F13" s="29" t="inlineStr">
        <is>
          <t>Historical</t>
        </is>
      </c>
    </row>
    <row r="14" ht="15" customHeight="1" s="30">
      <c r="A14" s="47" t="n">
        <v>45536</v>
      </c>
      <c r="B14" s="29" t="inlineStr">
        <is>
          <t>2024-09</t>
        </is>
      </c>
      <c r="C14" s="48" t="n">
        <v>334638.146305018</v>
      </c>
      <c r="D14" s="48">
        <f>AVERAGE(C12:C14)</f>
        <v/>
      </c>
      <c r="F14" s="29" t="inlineStr">
        <is>
          <t>Historical</t>
        </is>
      </c>
    </row>
    <row r="15" ht="15" customHeight="1" s="30">
      <c r="A15" s="47" t="n">
        <v>45566</v>
      </c>
      <c r="B15" s="29" t="inlineStr">
        <is>
          <t>2024-10</t>
        </is>
      </c>
      <c r="C15" s="48" t="n">
        <v>388901.99684958</v>
      </c>
      <c r="D15" s="48">
        <f>AVERAGE(C13:C15)</f>
        <v/>
      </c>
      <c r="F15" s="29" t="inlineStr">
        <is>
          <t>Historical</t>
        </is>
      </c>
    </row>
    <row r="16" ht="15" customHeight="1" s="30">
      <c r="A16" s="47" t="n">
        <v>45597</v>
      </c>
      <c r="B16" s="29" t="inlineStr">
        <is>
          <t>2024-11</t>
        </is>
      </c>
      <c r="C16" s="48" t="n">
        <v>733959.521118309</v>
      </c>
      <c r="D16" s="48">
        <f>AVERAGE(C14:C16)</f>
        <v/>
      </c>
      <c r="F16" s="29" t="inlineStr">
        <is>
          <t>Historical</t>
        </is>
      </c>
    </row>
    <row r="17" ht="15" customHeight="1" s="30">
      <c r="A17" s="47" t="n">
        <v>45627</v>
      </c>
      <c r="B17" s="29" t="inlineStr">
        <is>
          <t>2024-12</t>
        </is>
      </c>
      <c r="C17" s="48" t="n">
        <v>546450.4109586281</v>
      </c>
      <c r="D17" s="48">
        <f>AVERAGE(C15:C17)</f>
        <v/>
      </c>
      <c r="F17" s="29" t="inlineStr">
        <is>
          <t>Historical</t>
        </is>
      </c>
    </row>
    <row r="18" ht="15" customHeight="1" s="30">
      <c r="A18" s="47" t="n">
        <v>45658</v>
      </c>
      <c r="B18" s="29" t="inlineStr">
        <is>
          <t>2025-01</t>
        </is>
      </c>
      <c r="C18" s="48" t="n">
        <v>478311.383823048</v>
      </c>
      <c r="D18" s="48">
        <f>AVERAGE(C16:C18)</f>
        <v/>
      </c>
      <c r="F18" s="29" t="inlineStr">
        <is>
          <t>Historical</t>
        </is>
      </c>
    </row>
    <row r="19" ht="15" customHeight="1" s="30">
      <c r="A19" s="47" t="n">
        <v>45689</v>
      </c>
      <c r="B19" s="29" t="inlineStr">
        <is>
          <t>2025-02</t>
        </is>
      </c>
      <c r="C19" s="48" t="n">
        <v>416979.946624409</v>
      </c>
      <c r="D19" s="48">
        <f>AVERAGE(C17:C19)</f>
        <v/>
      </c>
      <c r="F19" s="29" t="inlineStr">
        <is>
          <t>Historical</t>
        </is>
      </c>
    </row>
    <row r="20" ht="15" customHeight="1" s="30">
      <c r="A20" s="47" t="n">
        <v>45717</v>
      </c>
      <c r="B20" s="29" t="inlineStr">
        <is>
          <t>2025-03</t>
        </is>
      </c>
      <c r="C20" s="48" t="n">
        <v>431773.293313849</v>
      </c>
      <c r="D20" s="48">
        <f>AVERAGE(C18:C20)</f>
        <v/>
      </c>
      <c r="F20" s="29" t="inlineStr">
        <is>
          <t>Historical</t>
        </is>
      </c>
    </row>
    <row r="21" ht="15" customHeight="1" s="30">
      <c r="A21" s="47" t="n">
        <v>45748</v>
      </c>
      <c r="B21" s="29" t="inlineStr">
        <is>
          <t>2025-04</t>
        </is>
      </c>
      <c r="C21" s="48" t="n">
        <v>378503.890968497</v>
      </c>
      <c r="D21" s="48">
        <f>AVERAGE(C19:C21)</f>
        <v/>
      </c>
      <c r="F21" s="29" t="inlineStr">
        <is>
          <t>Historical</t>
        </is>
      </c>
    </row>
    <row r="22" ht="15" customHeight="1" s="30">
      <c r="A22" s="47" t="n">
        <v>45778</v>
      </c>
      <c r="B22" s="29" t="inlineStr">
        <is>
          <t>2025-05</t>
        </is>
      </c>
      <c r="C22" s="48" t="n">
        <v>292334.508452628</v>
      </c>
      <c r="D22" s="48">
        <f>AVERAGE(C20:C22)</f>
        <v/>
      </c>
      <c r="F22" s="29" t="inlineStr">
        <is>
          <t>Historical</t>
        </is>
      </c>
    </row>
    <row r="23" ht="15" customHeight="1" s="30">
      <c r="A23" s="47" t="n">
        <v>45809</v>
      </c>
      <c r="B23" s="29" t="inlineStr">
        <is>
          <t>2025-06</t>
        </is>
      </c>
      <c r="C23" s="48" t="n">
        <v>211542.053704219</v>
      </c>
      <c r="D23" s="48">
        <f>AVERAGE(C21:C23)</f>
        <v/>
      </c>
      <c r="F23" s="29" t="inlineStr">
        <is>
          <t>Historical</t>
        </is>
      </c>
    </row>
    <row r="24" ht="15" customHeight="1" s="30">
      <c r="A24" s="47" t="n">
        <v>45839</v>
      </c>
      <c r="B24" s="29" t="inlineStr">
        <is>
          <t>2025-07</t>
        </is>
      </c>
      <c r="C24" s="48" t="n">
        <v>288313.694847588</v>
      </c>
      <c r="D24" s="48">
        <f>AVERAGE(C22:C24)</f>
        <v/>
      </c>
      <c r="F24" s="29" t="inlineStr">
        <is>
          <t>Historical</t>
        </is>
      </c>
    </row>
    <row r="25" ht="15" customHeight="1" s="30">
      <c r="A25" s="47" t="n">
        <v>45870</v>
      </c>
      <c r="B25" s="29" t="inlineStr">
        <is>
          <t>2025-08</t>
        </is>
      </c>
      <c r="C25" s="48" t="n">
        <v>198628.345109139</v>
      </c>
      <c r="D25" s="48">
        <f>AVERAGE(C23:C25)</f>
        <v/>
      </c>
      <c r="F25" s="29" t="inlineStr">
        <is>
          <t>Historical</t>
        </is>
      </c>
    </row>
    <row r="26" ht="15" customHeight="1" s="30">
      <c r="A26" s="47" t="n">
        <v>45901</v>
      </c>
      <c r="B26" s="29" t="inlineStr">
        <is>
          <t>2025-09</t>
        </is>
      </c>
      <c r="C26" s="48" t="n">
        <v>70601.65327628001</v>
      </c>
      <c r="D26" s="48">
        <f>AVERAGE(C24:C26)</f>
        <v/>
      </c>
      <c r="F26" s="29" t="inlineStr">
        <is>
          <t>Historical</t>
        </is>
      </c>
    </row>
    <row r="27" ht="15" customHeight="1" s="30">
      <c r="A27" s="47" t="n">
        <v>45931</v>
      </c>
      <c r="B27" s="29" t="inlineStr">
        <is>
          <t>2025-10</t>
        </is>
      </c>
      <c r="C27" s="48" t="n">
        <v>123576.10250695</v>
      </c>
      <c r="D27" s="48">
        <f>AVERAGE(C25:C27)</f>
        <v/>
      </c>
      <c r="F27" s="29" t="inlineStr">
        <is>
          <t>Historical</t>
        </is>
      </c>
    </row>
    <row r="28" ht="15" customHeight="1" s="30">
      <c r="A28" s="47" t="n">
        <v>45962</v>
      </c>
      <c r="B28" s="29" t="inlineStr">
        <is>
          <t>2025-11</t>
        </is>
      </c>
      <c r="C28" s="48" t="n">
        <v>158586.48006726</v>
      </c>
      <c r="D28" s="48">
        <f>AVERAGE(C26:C28)</f>
        <v/>
      </c>
      <c r="F28" s="29" t="inlineStr">
        <is>
          <t>Historical</t>
        </is>
      </c>
    </row>
    <row r="29" ht="15" customHeight="1" s="30">
      <c r="A29" s="47" t="n">
        <v>45992</v>
      </c>
      <c r="B29" s="29" t="inlineStr">
        <is>
          <t>2025-12</t>
        </is>
      </c>
      <c r="C29" s="48" t="n">
        <v>91871.8035766696</v>
      </c>
      <c r="D29" s="48">
        <f>AVERAGE(C27:C29)</f>
        <v/>
      </c>
      <c r="F29" s="29" t="inlineStr">
        <is>
          <t>Historical</t>
        </is>
      </c>
    </row>
    <row r="30" ht="15" customHeight="1" s="30">
      <c r="A30" s="47" t="n">
        <v>46023</v>
      </c>
      <c r="B30" s="29" t="inlineStr">
        <is>
          <t>2026-01</t>
        </is>
      </c>
      <c r="E30" s="49">
        <f>AVERAGE(C27:C29)</f>
        <v/>
      </c>
      <c r="F30" s="50" t="inlineStr">
        <is>
          <t>Forecast</t>
        </is>
      </c>
    </row>
    <row r="31" ht="15" customHeight="1" s="30">
      <c r="A31" s="47" t="n">
        <v>46054</v>
      </c>
      <c r="B31" s="29" t="inlineStr">
        <is>
          <t>2026-02</t>
        </is>
      </c>
      <c r="E31" s="49">
        <f>AVERAGE(C28:C30)</f>
        <v/>
      </c>
      <c r="F31" s="50" t="inlineStr">
        <is>
          <t>Forecast</t>
        </is>
      </c>
    </row>
    <row r="32" ht="15" customHeight="1" s="30">
      <c r="A32" s="47" t="n">
        <v>46082</v>
      </c>
      <c r="B32" s="29" t="inlineStr">
        <is>
          <t>2026-03</t>
        </is>
      </c>
      <c r="E32" s="49">
        <f>AVERAGE(C29:C31)</f>
        <v/>
      </c>
      <c r="F32" s="50" t="inlineStr">
        <is>
          <t>Forecast</t>
        </is>
      </c>
    </row>
    <row r="33"/>
    <row r="35" ht="15" customHeight="1" s="30">
      <c r="A35" s="34" t="inlineStr">
        <is>
          <t>Key Insights:</t>
        </is>
      </c>
    </row>
    <row r="36" ht="15" customHeight="1" s="30">
      <c r="A36" s="29" t="inlineStr">
        <is>
          <t>• The 3-month moving average smooths out short-term volatility in BTC trading volume</t>
        </is>
      </c>
    </row>
    <row r="37" ht="15" customHeight="1" s="30">
      <c r="A37" s="29" t="inlineStr">
        <is>
          <t>• Forecast assumes continuation of recent trends in USD-denominated Bitcoin trading</t>
        </is>
      </c>
    </row>
    <row r="38" ht="15" customHeight="1" s="30">
      <c r="A38" s="29" t="inlineStr">
        <is>
          <t>• USD remains dominant in BTC trading, accounting for majority of global volume</t>
        </is>
      </c>
    </row>
    <row r="39" ht="15" customHeight="1" s="30">
      <c r="A39" s="29" t="inlineStr">
        <is>
          <t>• Any significant forecast deviation may signal shifts in BTC market dynamics</t>
        </is>
      </c>
    </row>
  </sheetData>
  <mergeCells count="6">
    <mergeCell ref="A38:F38"/>
    <mergeCell ref="A36:F36"/>
    <mergeCell ref="A1:F1"/>
    <mergeCell ref="A37:F37"/>
    <mergeCell ref="A3:F3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12" customWidth="1" style="29" min="2" max="2"/>
    <col width="20" customWidth="1" style="29" min="3" max="4"/>
    <col width="15" customWidth="1" style="29" min="5" max="7"/>
  </cols>
  <sheetData>
    <row r="1" ht="17.25" customHeight="1" s="30">
      <c r="A1" s="44" t="inlineStr">
        <is>
          <t>SECTION D: PREDICTIVE ANALYSIS - BRICS Gold Imports</t>
        </is>
      </c>
    </row>
    <row r="3" ht="15" customHeight="1" s="30">
      <c r="A3" s="45" t="inlineStr">
        <is>
          <t>3-Month Moving Average Forecast</t>
        </is>
      </c>
    </row>
    <row r="5" ht="15" customHeight="1" s="30">
      <c r="A5" s="46" t="inlineStr">
        <is>
          <t>Date</t>
        </is>
      </c>
      <c r="B5" s="46" t="inlineStr">
        <is>
          <t>Year-Month</t>
        </is>
      </c>
      <c r="C5" s="46" t="inlineStr">
        <is>
          <t>Actual Quantity (kg)</t>
        </is>
      </c>
      <c r="D5" s="46" t="inlineStr">
        <is>
          <t>Actual Value (USD)</t>
        </is>
      </c>
      <c r="E5" s="46" t="inlineStr">
        <is>
          <t>3-MA Qty</t>
        </is>
      </c>
      <c r="F5" s="46" t="inlineStr">
        <is>
          <t>3-MA Value</t>
        </is>
      </c>
      <c r="G5" s="46" t="inlineStr">
        <is>
          <t>Forecast Type</t>
        </is>
      </c>
    </row>
    <row r="6" ht="15" customHeight="1" s="30">
      <c r="A6" s="47" t="n">
        <v>45231</v>
      </c>
      <c r="B6" s="29" t="inlineStr">
        <is>
          <t>2023-11</t>
        </is>
      </c>
      <c r="C6" s="48" t="n">
        <v>410472</v>
      </c>
      <c r="D6" s="51" t="n">
        <v>25697969775.874</v>
      </c>
      <c r="E6" s="48" t="n"/>
      <c r="F6" s="51" t="n"/>
      <c r="G6" s="29" t="inlineStr">
        <is>
          <t>Historical</t>
        </is>
      </c>
    </row>
    <row r="7" ht="15" customHeight="1" s="30">
      <c r="A7" s="47" t="n">
        <v>45261</v>
      </c>
      <c r="B7" s="29" t="inlineStr">
        <is>
          <t>2023-12</t>
        </is>
      </c>
      <c r="C7" s="48" t="n">
        <v>301914.013</v>
      </c>
      <c r="D7" s="51" t="n">
        <v>18518197146.993</v>
      </c>
      <c r="E7" s="48" t="n"/>
      <c r="F7" s="51" t="n"/>
      <c r="G7" s="29" t="inlineStr">
        <is>
          <t>Historical</t>
        </is>
      </c>
    </row>
    <row r="8" ht="15" customHeight="1" s="30">
      <c r="A8" s="47" t="n">
        <v>45292</v>
      </c>
      <c r="B8" s="29" t="inlineStr">
        <is>
          <t>2024-01</t>
        </is>
      </c>
      <c r="C8" s="48" t="n">
        <v>543114.76</v>
      </c>
      <c r="D8" s="51" t="n">
        <v>34652454687.332</v>
      </c>
      <c r="E8" s="48">
        <f>AVERAGE(C6:C8)</f>
        <v/>
      </c>
      <c r="F8" s="51">
        <f>AVERAGE(D6:D8)</f>
        <v/>
      </c>
      <c r="G8" s="29" t="inlineStr">
        <is>
          <t>Historical</t>
        </is>
      </c>
    </row>
    <row r="9" ht="15" customHeight="1" s="30">
      <c r="A9" s="47" t="n">
        <v>45323</v>
      </c>
      <c r="B9" s="29" t="inlineStr">
        <is>
          <t>2024-02</t>
        </is>
      </c>
      <c r="C9" s="48" t="n">
        <v>488877.331</v>
      </c>
      <c r="D9" s="51" t="n">
        <v>30559647228.355</v>
      </c>
      <c r="E9" s="48">
        <f>AVERAGE(C7:C9)</f>
        <v/>
      </c>
      <c r="F9" s="51">
        <f>AVERAGE(D7:D9)</f>
        <v/>
      </c>
      <c r="G9" s="29" t="inlineStr">
        <is>
          <t>Historical</t>
        </is>
      </c>
    </row>
    <row r="10" ht="15" customHeight="1" s="30">
      <c r="A10" s="47" t="n">
        <v>45352</v>
      </c>
      <c r="B10" s="29" t="inlineStr">
        <is>
          <t>2024-03</t>
        </is>
      </c>
      <c r="C10" s="48" t="n">
        <v>457973.21</v>
      </c>
      <c r="D10" s="51" t="n">
        <v>29463579221.424</v>
      </c>
      <c r="E10" s="48">
        <f>AVERAGE(C8:C10)</f>
        <v/>
      </c>
      <c r="F10" s="51">
        <f>AVERAGE(D8:D10)</f>
        <v/>
      </c>
      <c r="G10" s="29" t="inlineStr">
        <is>
          <t>Historical</t>
        </is>
      </c>
    </row>
    <row r="11" ht="15" customHeight="1" s="30">
      <c r="A11" s="47" t="n">
        <v>45383</v>
      </c>
      <c r="B11" s="29" t="inlineStr">
        <is>
          <t>2024-04</t>
        </is>
      </c>
      <c r="C11" s="48" t="n">
        <v>357280.328</v>
      </c>
      <c r="D11" s="51" t="n">
        <v>26289218681.889</v>
      </c>
      <c r="E11" s="48">
        <f>AVERAGE(C9:C11)</f>
        <v/>
      </c>
      <c r="F11" s="51">
        <f>AVERAGE(D9:D11)</f>
        <v/>
      </c>
      <c r="G11" s="29" t="inlineStr">
        <is>
          <t>Historical</t>
        </is>
      </c>
    </row>
    <row r="12" ht="15" customHeight="1" s="30">
      <c r="A12" s="47" t="n">
        <v>45413</v>
      </c>
      <c r="B12" s="29" t="inlineStr">
        <is>
          <t>2024-05</t>
        </is>
      </c>
      <c r="C12" s="48" t="n">
        <v>375295.335</v>
      </c>
      <c r="D12" s="51" t="n">
        <v>27847131457.731</v>
      </c>
      <c r="E12" s="48">
        <f>AVERAGE(C10:C12)</f>
        <v/>
      </c>
      <c r="F12" s="51">
        <f>AVERAGE(D10:D12)</f>
        <v/>
      </c>
      <c r="G12" s="29" t="inlineStr">
        <is>
          <t>Historical</t>
        </is>
      </c>
    </row>
    <row r="13" ht="15" customHeight="1" s="30">
      <c r="A13" s="47" t="n">
        <v>45444</v>
      </c>
      <c r="B13" s="29" t="inlineStr">
        <is>
          <t>2024-06</t>
        </is>
      </c>
      <c r="C13" s="48" t="n">
        <v>209630.247</v>
      </c>
      <c r="D13" s="51" t="n">
        <v>15190287685.865</v>
      </c>
      <c r="E13" s="48">
        <f>AVERAGE(C11:C13)</f>
        <v/>
      </c>
      <c r="F13" s="51">
        <f>AVERAGE(D11:D13)</f>
        <v/>
      </c>
      <c r="G13" s="29" t="inlineStr">
        <is>
          <t>Historical</t>
        </is>
      </c>
    </row>
    <row r="14" ht="15" customHeight="1" s="30">
      <c r="A14" s="47" t="n">
        <v>45474</v>
      </c>
      <c r="B14" s="29" t="inlineStr">
        <is>
          <t>2024-07</t>
        </is>
      </c>
      <c r="C14" s="48" t="n">
        <v>184096.566</v>
      </c>
      <c r="D14" s="51" t="n">
        <v>13368872115</v>
      </c>
      <c r="E14" s="48">
        <f>AVERAGE(C12:C14)</f>
        <v/>
      </c>
      <c r="F14" s="51">
        <f>AVERAGE(D12:D14)</f>
        <v/>
      </c>
      <c r="G14" s="29" t="inlineStr">
        <is>
          <t>Historical</t>
        </is>
      </c>
    </row>
    <row r="15" ht="15" customHeight="1" s="30">
      <c r="A15" s="47" t="n">
        <v>45505</v>
      </c>
      <c r="B15" s="29" t="inlineStr">
        <is>
          <t>2024-08</t>
        </is>
      </c>
      <c r="C15" s="48" t="n">
        <v>332257.374</v>
      </c>
      <c r="D15" s="51" t="n">
        <v>23894666844.126</v>
      </c>
      <c r="E15" s="48">
        <f>AVERAGE(C13:C15)</f>
        <v/>
      </c>
      <c r="F15" s="51">
        <f>AVERAGE(D13:D15)</f>
        <v/>
      </c>
      <c r="G15" s="29" t="inlineStr">
        <is>
          <t>Historical</t>
        </is>
      </c>
    </row>
    <row r="16" ht="15" customHeight="1" s="30">
      <c r="A16" s="47" t="n">
        <v>45536</v>
      </c>
      <c r="B16" s="29" t="inlineStr">
        <is>
          <t>2024-09</t>
        </is>
      </c>
      <c r="C16" s="48" t="n">
        <v>321638.7</v>
      </c>
      <c r="D16" s="51" t="n">
        <v>24858782295.789</v>
      </c>
      <c r="E16" s="48">
        <f>AVERAGE(C14:C16)</f>
        <v/>
      </c>
      <c r="F16" s="51">
        <f>AVERAGE(D14:D16)</f>
        <v/>
      </c>
      <c r="G16" s="29" t="inlineStr">
        <is>
          <t>Historical</t>
        </is>
      </c>
    </row>
    <row r="17" ht="15" customHeight="1" s="30">
      <c r="A17" s="47" t="n">
        <v>45566</v>
      </c>
      <c r="B17" s="29" t="inlineStr">
        <is>
          <t>2024-10</t>
        </is>
      </c>
      <c r="C17" s="48" t="n">
        <v>374070.705</v>
      </c>
      <c r="D17" s="51" t="n">
        <v>30998281650.397</v>
      </c>
      <c r="E17" s="48">
        <f>AVERAGE(C15:C17)</f>
        <v/>
      </c>
      <c r="F17" s="51">
        <f>AVERAGE(D15:D17)</f>
        <v/>
      </c>
      <c r="G17" s="29" t="inlineStr">
        <is>
          <t>Historical</t>
        </is>
      </c>
    </row>
    <row r="18" ht="15" customHeight="1" s="30">
      <c r="A18" s="47" t="n">
        <v>45597</v>
      </c>
      <c r="B18" s="29" t="inlineStr">
        <is>
          <t>2024-11</t>
        </is>
      </c>
      <c r="C18" s="48" t="n">
        <v>488673.703</v>
      </c>
      <c r="D18" s="51" t="n">
        <v>41063885003.077</v>
      </c>
      <c r="E18" s="48">
        <f>AVERAGE(C16:C18)</f>
        <v/>
      </c>
      <c r="F18" s="51">
        <f>AVERAGE(D16:D18)</f>
        <v/>
      </c>
      <c r="G18" s="29" t="inlineStr">
        <is>
          <t>Historical</t>
        </is>
      </c>
    </row>
    <row r="19" ht="15" customHeight="1" s="30">
      <c r="A19" s="47" t="n">
        <v>45627</v>
      </c>
      <c r="B19" s="29" t="inlineStr">
        <is>
          <t>2024-12</t>
        </is>
      </c>
      <c r="C19" s="48" t="n">
        <v>342227.104</v>
      </c>
      <c r="D19" s="51" t="n">
        <v>27507452761.46</v>
      </c>
      <c r="E19" s="48">
        <f>AVERAGE(C17:C19)</f>
        <v/>
      </c>
      <c r="F19" s="51">
        <f>AVERAGE(D17:D19)</f>
        <v/>
      </c>
      <c r="G19" s="29" t="inlineStr">
        <is>
          <t>Historical</t>
        </is>
      </c>
    </row>
    <row r="20" ht="15" customHeight="1" s="30">
      <c r="A20" s="47" t="n">
        <v>45658</v>
      </c>
      <c r="B20" s="29" t="inlineStr">
        <is>
          <t>2025-01</t>
        </is>
      </c>
      <c r="C20" s="48" t="n">
        <v>105878.394</v>
      </c>
      <c r="D20" s="51" t="n">
        <v>6065804060.324</v>
      </c>
      <c r="E20" s="48">
        <f>AVERAGE(C18:C20)</f>
        <v/>
      </c>
      <c r="F20" s="51">
        <f>AVERAGE(D18:D20)</f>
        <v/>
      </c>
      <c r="G20" s="29" t="inlineStr">
        <is>
          <t>Historical</t>
        </is>
      </c>
    </row>
    <row r="21" ht="15" customHeight="1" s="30">
      <c r="A21" s="47" t="n">
        <v>45689</v>
      </c>
      <c r="B21" s="29" t="inlineStr">
        <is>
          <t>2025-02</t>
        </is>
      </c>
      <c r="C21" s="48" t="n">
        <v>89053.696</v>
      </c>
      <c r="D21" s="51" t="n">
        <v>5300596825.63</v>
      </c>
      <c r="E21" s="48">
        <f>AVERAGE(C19:C21)</f>
        <v/>
      </c>
      <c r="F21" s="51">
        <f>AVERAGE(D19:D21)</f>
        <v/>
      </c>
      <c r="G21" s="29" t="inlineStr">
        <is>
          <t>Historical</t>
        </is>
      </c>
    </row>
    <row r="22" ht="15" customHeight="1" s="30">
      <c r="A22" s="47" t="n">
        <v>45717</v>
      </c>
      <c r="B22" s="29" t="inlineStr">
        <is>
          <t>2025-03</t>
        </is>
      </c>
      <c r="C22" s="48" t="n">
        <v>119478.051</v>
      </c>
      <c r="D22" s="51" t="n">
        <v>9470103539.492001</v>
      </c>
      <c r="E22" s="48">
        <f>AVERAGE(C20:C22)</f>
        <v/>
      </c>
      <c r="F22" s="51">
        <f>AVERAGE(D20:D22)</f>
        <v/>
      </c>
      <c r="G22" s="29" t="inlineStr">
        <is>
          <t>Historical</t>
        </is>
      </c>
    </row>
    <row r="23" ht="15" customHeight="1" s="30">
      <c r="A23" s="47" t="n">
        <v>45748</v>
      </c>
      <c r="B23" s="29" t="inlineStr">
        <is>
          <t>2025-04</t>
        </is>
      </c>
      <c r="C23" s="48" t="n">
        <v>122640.917</v>
      </c>
      <c r="D23" s="51" t="n">
        <v>7387366864.449</v>
      </c>
      <c r="E23" s="48">
        <f>AVERAGE(C21:C23)</f>
        <v/>
      </c>
      <c r="F23" s="51">
        <f>AVERAGE(D21:D23)</f>
        <v/>
      </c>
      <c r="G23" s="29" t="inlineStr">
        <is>
          <t>Historical</t>
        </is>
      </c>
    </row>
    <row r="24" ht="15" customHeight="1" s="30">
      <c r="A24" s="47" t="n">
        <v>45778</v>
      </c>
      <c r="B24" s="29" t="inlineStr">
        <is>
          <t>2025-05</t>
        </is>
      </c>
      <c r="C24" s="48" t="n">
        <v>187025.254</v>
      </c>
      <c r="D24" s="51" t="n">
        <v>7721096051.583</v>
      </c>
      <c r="E24" s="48">
        <f>AVERAGE(C22:C24)</f>
        <v/>
      </c>
      <c r="F24" s="51">
        <f>AVERAGE(D22:D24)</f>
        <v/>
      </c>
      <c r="G24" s="29" t="inlineStr">
        <is>
          <t>Historical</t>
        </is>
      </c>
    </row>
    <row r="25" ht="15" customHeight="1" s="30">
      <c r="A25" s="47" t="n">
        <v>45809</v>
      </c>
      <c r="B25" s="29" t="inlineStr">
        <is>
          <t>2025-06</t>
        </is>
      </c>
      <c r="C25" s="48" t="n">
        <v>78871.658</v>
      </c>
      <c r="D25" s="51" t="n">
        <v>4462163684.34</v>
      </c>
      <c r="E25" s="48">
        <f>AVERAGE(C23:C25)</f>
        <v/>
      </c>
      <c r="F25" s="51">
        <f>AVERAGE(D23:D25)</f>
        <v/>
      </c>
      <c r="G25" s="29" t="inlineStr">
        <is>
          <t>Historical</t>
        </is>
      </c>
    </row>
    <row r="26" ht="15" customHeight="1" s="30">
      <c r="A26" s="47" t="n">
        <v>45839</v>
      </c>
      <c r="B26" s="29" t="inlineStr">
        <is>
          <t>2025-07</t>
        </is>
      </c>
      <c r="C26" s="48" t="n">
        <v>1983.579</v>
      </c>
      <c r="D26" s="51" t="n">
        <v>180167655.605</v>
      </c>
      <c r="E26" s="48">
        <f>AVERAGE(C24:C26)</f>
        <v/>
      </c>
      <c r="F26" s="51">
        <f>AVERAGE(D24:D26)</f>
        <v/>
      </c>
      <c r="G26" s="29" t="inlineStr">
        <is>
          <t>Historical</t>
        </is>
      </c>
    </row>
    <row r="27" ht="15" customHeight="1" s="30">
      <c r="A27" s="47" t="n">
        <v>45870</v>
      </c>
      <c r="B27" s="29" t="inlineStr">
        <is>
          <t>2025-08</t>
        </is>
      </c>
      <c r="C27" s="48" t="n">
        <v>3491.926</v>
      </c>
      <c r="D27" s="51" t="n">
        <v>315996835.303</v>
      </c>
      <c r="E27" s="48">
        <f>AVERAGE(C25:C27)</f>
        <v/>
      </c>
      <c r="F27" s="51">
        <f>AVERAGE(D25:D27)</f>
        <v/>
      </c>
      <c r="G27" s="29" t="inlineStr">
        <is>
          <t>Historical</t>
        </is>
      </c>
    </row>
    <row r="28" ht="15" customHeight="1" s="30">
      <c r="A28" s="47" t="n">
        <v>45901</v>
      </c>
      <c r="B28" s="29" t="inlineStr">
        <is>
          <t>2025-09</t>
        </is>
      </c>
      <c r="C28" s="48" t="n">
        <v>207050.569</v>
      </c>
      <c r="D28" s="51" t="n">
        <v>19448765798.541</v>
      </c>
      <c r="E28" s="48">
        <f>AVERAGE(C26:C28)</f>
        <v/>
      </c>
      <c r="F28" s="51">
        <f>AVERAGE(D26:D28)</f>
        <v/>
      </c>
      <c r="G28" s="29" t="inlineStr">
        <is>
          <t>Historical</t>
        </is>
      </c>
    </row>
    <row r="29" ht="15" customHeight="1" s="30">
      <c r="A29" s="47" t="n">
        <v>45931</v>
      </c>
      <c r="B29" s="29" t="inlineStr">
        <is>
          <t>2025-10</t>
        </is>
      </c>
      <c r="C29" s="48" t="n">
        <v>4352.857</v>
      </c>
      <c r="D29" s="51" t="n">
        <v>390807537.562</v>
      </c>
      <c r="E29" s="48">
        <f>AVERAGE(C27:C29)</f>
        <v/>
      </c>
      <c r="F29" s="51">
        <f>AVERAGE(D27:D29)</f>
        <v/>
      </c>
      <c r="G29" s="29" t="inlineStr">
        <is>
          <t>Historical</t>
        </is>
      </c>
    </row>
    <row r="30" ht="15" customHeight="1" s="30">
      <c r="A30" s="47" t="n">
        <v>45962</v>
      </c>
      <c r="B30" s="29" t="inlineStr">
        <is>
          <t>2025-11</t>
        </is>
      </c>
      <c r="E30" s="48">
        <f>AVERAGE(C27:C29)</f>
        <v/>
      </c>
      <c r="F30" s="51">
        <f>AVERAGE(D27:D29)</f>
        <v/>
      </c>
      <c r="G30" s="50" t="inlineStr">
        <is>
          <t>Forecast</t>
        </is>
      </c>
    </row>
    <row r="31" ht="15" customHeight="1" s="30">
      <c r="A31" s="47" t="n">
        <v>45992</v>
      </c>
      <c r="B31" s="29" t="inlineStr">
        <is>
          <t>2025-12</t>
        </is>
      </c>
      <c r="E31" s="48">
        <f>AVERAGE(C28:C30)</f>
        <v/>
      </c>
      <c r="F31" s="51">
        <f>AVERAGE(D28:D30)</f>
        <v/>
      </c>
      <c r="G31" s="50" t="inlineStr">
        <is>
          <t>Forecast</t>
        </is>
      </c>
    </row>
    <row r="32" ht="15" customHeight="1" s="30">
      <c r="A32" s="47" t="n">
        <v>46023</v>
      </c>
      <c r="B32" s="29" t="inlineStr">
        <is>
          <t>2026-01</t>
        </is>
      </c>
      <c r="E32" s="48">
        <f>AVERAGE(C29:C31)</f>
        <v/>
      </c>
      <c r="F32" s="51">
        <f>AVERAGE(D29:D31)</f>
        <v/>
      </c>
      <c r="G32" s="50" t="inlineStr">
        <is>
          <t>Forecast</t>
        </is>
      </c>
    </row>
    <row r="33"/>
    <row r="35" ht="15" customHeight="1" s="30">
      <c r="A35" s="34" t="inlineStr">
        <is>
          <t>Key Insights:</t>
        </is>
      </c>
    </row>
    <row r="36" ht="15" customHeight="1" s="30">
      <c r="A36" s="29" t="inlineStr">
        <is>
          <t>• BRICS nations (Brazil, Russia, India, China, South Africa) are increasing gold reserves</t>
        </is>
      </c>
    </row>
    <row r="37" ht="15" customHeight="1" s="30">
      <c r="A37" s="29" t="inlineStr">
        <is>
          <t>• Rising gold accumulation suggests de-dollarization and diversification away from USD</t>
        </is>
      </c>
    </row>
    <row r="38" ht="15" customHeight="1" s="30">
      <c r="A38" s="29" t="inlineStr">
        <is>
          <t>• Gold serves as a hedge against currency fluctuations and geopolitical uncertainty</t>
        </is>
      </c>
    </row>
    <row r="39" ht="15" customHeight="1" s="30">
      <c r="A39" s="29" t="inlineStr">
        <is>
          <t>• Forecast indicates continued strong demand from BRICS central banks</t>
        </is>
      </c>
    </row>
  </sheetData>
  <mergeCells count="6">
    <mergeCell ref="A36:G36"/>
    <mergeCell ref="A1:G1"/>
    <mergeCell ref="A3:G3"/>
    <mergeCell ref="A39:G39"/>
    <mergeCell ref="A38:G38"/>
    <mergeCell ref="A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12" customWidth="1" style="29" min="2" max="2"/>
    <col width="20" customWidth="1" style="29" min="3" max="4"/>
    <col width="15" customWidth="1" style="29" min="5" max="7"/>
  </cols>
  <sheetData>
    <row r="1" ht="17.25" customHeight="1" s="30">
      <c r="A1" s="44" t="inlineStr">
        <is>
          <t>SECTION D: PREDICTIVE ANALYSIS - BRICS Crude Oil Imports</t>
        </is>
      </c>
    </row>
    <row r="3" ht="15" customHeight="1" s="30">
      <c r="A3" s="45" t="inlineStr">
        <is>
          <t>3-Month Moving Average Forecast</t>
        </is>
      </c>
    </row>
    <row r="5" ht="15" customHeight="1" s="30">
      <c r="A5" s="46" t="inlineStr">
        <is>
          <t>Date</t>
        </is>
      </c>
      <c r="B5" s="46" t="inlineStr">
        <is>
          <t>Year-Month</t>
        </is>
      </c>
      <c r="C5" s="46" t="inlineStr">
        <is>
          <t>Actual Quantity (kg)</t>
        </is>
      </c>
      <c r="D5" s="46" t="inlineStr">
        <is>
          <t>Actual Value (USD)</t>
        </is>
      </c>
      <c r="E5" s="46" t="inlineStr">
        <is>
          <t>3-MA Qty</t>
        </is>
      </c>
      <c r="F5" s="46" t="inlineStr">
        <is>
          <t>3-MA Value</t>
        </is>
      </c>
      <c r="G5" s="46" t="inlineStr">
        <is>
          <t>Forecast Type</t>
        </is>
      </c>
    </row>
    <row r="6" ht="15" customHeight="1" s="30">
      <c r="A6" s="47" t="n">
        <v>45231</v>
      </c>
      <c r="B6" s="29" t="inlineStr">
        <is>
          <t>2023-11</t>
        </is>
      </c>
      <c r="C6" s="48" t="n">
        <v>20119825685</v>
      </c>
      <c r="D6" s="51" t="n">
        <v>13082885456.582</v>
      </c>
      <c r="E6" s="48" t="n"/>
      <c r="F6" s="51" t="n"/>
      <c r="G6" s="29" t="inlineStr">
        <is>
          <t>Historical</t>
        </is>
      </c>
    </row>
    <row r="7" ht="15" customHeight="1" s="30">
      <c r="A7" s="47" t="n">
        <v>45261</v>
      </c>
      <c r="B7" s="29" t="inlineStr">
        <is>
          <t>2023-12</t>
        </is>
      </c>
      <c r="C7" s="48" t="n">
        <v>69008304895</v>
      </c>
      <c r="D7" s="51" t="n">
        <v>41846187502.802</v>
      </c>
      <c r="E7" s="48" t="n"/>
      <c r="F7" s="51" t="n"/>
      <c r="G7" s="29" t="inlineStr">
        <is>
          <t>Historical</t>
        </is>
      </c>
    </row>
    <row r="8" ht="15" customHeight="1" s="30">
      <c r="A8" s="47" t="n">
        <v>45292</v>
      </c>
      <c r="B8" s="29" t="inlineStr">
        <is>
          <t>2024-01</t>
        </is>
      </c>
      <c r="C8" s="48" t="n">
        <v>65131857300</v>
      </c>
      <c r="D8" s="51" t="n">
        <v>38234600381.545</v>
      </c>
      <c r="E8" s="48">
        <f>AVERAGE(C6:C8)</f>
        <v/>
      </c>
      <c r="F8" s="51">
        <f>AVERAGE(D6:D8)</f>
        <v/>
      </c>
      <c r="G8" s="29" t="inlineStr">
        <is>
          <t>Historical</t>
        </is>
      </c>
    </row>
    <row r="9" ht="15" customHeight="1" s="30">
      <c r="A9" s="47" t="n">
        <v>45323</v>
      </c>
      <c r="B9" s="29" t="inlineStr">
        <is>
          <t>2024-02</t>
        </is>
      </c>
      <c r="C9" s="48" t="n">
        <v>67402962418</v>
      </c>
      <c r="D9" s="51" t="n">
        <v>39868205786.986</v>
      </c>
      <c r="E9" s="48">
        <f>AVERAGE(C7:C9)</f>
        <v/>
      </c>
      <c r="F9" s="51">
        <f>AVERAGE(D7:D9)</f>
        <v/>
      </c>
      <c r="G9" s="29" t="inlineStr">
        <is>
          <t>Historical</t>
        </is>
      </c>
    </row>
    <row r="10" ht="15" customHeight="1" s="30">
      <c r="A10" s="47" t="n">
        <v>45352</v>
      </c>
      <c r="B10" s="29" t="inlineStr">
        <is>
          <t>2024-03</t>
        </is>
      </c>
      <c r="C10" s="48" t="n">
        <v>71979711600</v>
      </c>
      <c r="D10" s="51" t="n">
        <v>43443517038.789</v>
      </c>
      <c r="E10" s="48">
        <f>AVERAGE(C8:C10)</f>
        <v/>
      </c>
      <c r="F10" s="51">
        <f>AVERAGE(D8:D10)</f>
        <v/>
      </c>
      <c r="G10" s="29" t="inlineStr">
        <is>
          <t>Historical</t>
        </is>
      </c>
    </row>
    <row r="11" ht="15" customHeight="1" s="30">
      <c r="A11" s="47" t="n">
        <v>45383</v>
      </c>
      <c r="B11" s="29" t="inlineStr">
        <is>
          <t>2024-04</t>
        </is>
      </c>
      <c r="C11" s="48" t="n">
        <v>67931145808</v>
      </c>
      <c r="D11" s="51" t="n">
        <v>42608829678.85</v>
      </c>
      <c r="E11" s="48">
        <f>AVERAGE(C9:C11)</f>
        <v/>
      </c>
      <c r="F11" s="51">
        <f>AVERAGE(D9:D11)</f>
        <v/>
      </c>
      <c r="G11" s="29" t="inlineStr">
        <is>
          <t>Historical</t>
        </is>
      </c>
    </row>
    <row r="12" ht="15" customHeight="1" s="30">
      <c r="A12" s="47" t="n">
        <v>45413</v>
      </c>
      <c r="B12" s="29" t="inlineStr">
        <is>
          <t>2024-05</t>
        </is>
      </c>
      <c r="C12" s="48" t="n">
        <v>73007717113</v>
      </c>
      <c r="D12" s="51" t="n">
        <v>46060444857.042</v>
      </c>
      <c r="E12" s="48">
        <f>AVERAGE(C10:C12)</f>
        <v/>
      </c>
      <c r="F12" s="51">
        <f>AVERAGE(D10:D12)</f>
        <v/>
      </c>
      <c r="G12" s="29" t="inlineStr">
        <is>
          <t>Historical</t>
        </is>
      </c>
    </row>
    <row r="13" ht="15" customHeight="1" s="30">
      <c r="A13" s="47" t="n">
        <v>45444</v>
      </c>
      <c r="B13" s="29" t="inlineStr">
        <is>
          <t>2024-06</t>
        </is>
      </c>
      <c r="C13" s="48" t="n">
        <v>66700542959</v>
      </c>
      <c r="D13" s="51" t="n">
        <v>40867701660.135</v>
      </c>
      <c r="E13" s="48">
        <f>AVERAGE(C11:C13)</f>
        <v/>
      </c>
      <c r="F13" s="51">
        <f>AVERAGE(D11:D13)</f>
        <v/>
      </c>
      <c r="G13" s="29" t="inlineStr">
        <is>
          <t>Historical</t>
        </is>
      </c>
    </row>
    <row r="14" ht="15" customHeight="1" s="30">
      <c r="A14" s="47" t="n">
        <v>45474</v>
      </c>
      <c r="B14" s="29" t="inlineStr">
        <is>
          <t>2024-07</t>
        </is>
      </c>
      <c r="C14" s="48" t="n">
        <v>60397931515</v>
      </c>
      <c r="D14" s="51" t="n">
        <v>37108708164.644</v>
      </c>
      <c r="E14" s="48">
        <f>AVERAGE(C12:C14)</f>
        <v/>
      </c>
      <c r="F14" s="51">
        <f>AVERAGE(D12:D14)</f>
        <v/>
      </c>
      <c r="G14" s="29" t="inlineStr">
        <is>
          <t>Historical</t>
        </is>
      </c>
    </row>
    <row r="15" ht="15" customHeight="1" s="30">
      <c r="A15" s="47" t="n">
        <v>45505</v>
      </c>
      <c r="B15" s="29" t="inlineStr">
        <is>
          <t>2024-08</t>
        </is>
      </c>
      <c r="C15" s="48" t="n">
        <v>62492222746</v>
      </c>
      <c r="D15" s="51" t="n">
        <v>37616508480.361</v>
      </c>
      <c r="E15" s="48">
        <f>AVERAGE(C13:C15)</f>
        <v/>
      </c>
      <c r="F15" s="51">
        <f>AVERAGE(D13:D15)</f>
        <v/>
      </c>
      <c r="G15" s="29" t="inlineStr">
        <is>
          <t>Historical</t>
        </is>
      </c>
    </row>
    <row r="16" ht="15" customHeight="1" s="30">
      <c r="A16" s="47" t="n">
        <v>45536</v>
      </c>
      <c r="B16" s="29" t="inlineStr">
        <is>
          <t>2024-09</t>
        </is>
      </c>
      <c r="C16" s="48" t="n">
        <v>62626383543.934</v>
      </c>
      <c r="D16" s="51" t="n">
        <v>35822335702.452</v>
      </c>
      <c r="E16" s="48">
        <f>AVERAGE(C14:C16)</f>
        <v/>
      </c>
      <c r="F16" s="51">
        <f>AVERAGE(D14:D16)</f>
        <v/>
      </c>
      <c r="G16" s="29" t="inlineStr">
        <is>
          <t>Historical</t>
        </is>
      </c>
    </row>
    <row r="17" ht="15" customHeight="1" s="30">
      <c r="A17" s="47" t="n">
        <v>45566</v>
      </c>
      <c r="B17" s="29" t="inlineStr">
        <is>
          <t>2024-10</t>
        </is>
      </c>
      <c r="C17" s="48" t="n">
        <v>71883390604.705</v>
      </c>
      <c r="D17" s="51" t="n">
        <v>40092428220.239</v>
      </c>
      <c r="E17" s="48">
        <f>AVERAGE(C15:C17)</f>
        <v/>
      </c>
      <c r="F17" s="51">
        <f>AVERAGE(D15:D17)</f>
        <v/>
      </c>
      <c r="G17" s="29" t="inlineStr">
        <is>
          <t>Historical</t>
        </is>
      </c>
    </row>
    <row r="18" ht="15" customHeight="1" s="30">
      <c r="A18" s="47" t="n">
        <v>45597</v>
      </c>
      <c r="B18" s="29" t="inlineStr">
        <is>
          <t>2024-11</t>
        </is>
      </c>
      <c r="C18" s="48" t="n">
        <v>72489455792.664</v>
      </c>
      <c r="D18" s="51" t="n">
        <v>39943861281.508</v>
      </c>
      <c r="E18" s="48">
        <f>AVERAGE(C16:C18)</f>
        <v/>
      </c>
      <c r="F18" s="51">
        <f>AVERAGE(D16:D18)</f>
        <v/>
      </c>
      <c r="G18" s="29" t="inlineStr">
        <is>
          <t>Historical</t>
        </is>
      </c>
    </row>
    <row r="19" ht="15" customHeight="1" s="30">
      <c r="A19" s="47" t="n">
        <v>45627</v>
      </c>
      <c r="B19" s="29" t="inlineStr">
        <is>
          <t>2024-12</t>
        </is>
      </c>
      <c r="C19" s="48" t="n">
        <v>68170002412.547</v>
      </c>
      <c r="D19" s="51" t="n">
        <v>37043944161.499</v>
      </c>
      <c r="E19" s="48">
        <f>AVERAGE(C17:C19)</f>
        <v/>
      </c>
      <c r="F19" s="51">
        <f>AVERAGE(D17:D19)</f>
        <v/>
      </c>
      <c r="G19" s="29" t="inlineStr">
        <is>
          <t>Historical</t>
        </is>
      </c>
    </row>
    <row r="20" ht="15" customHeight="1" s="30">
      <c r="A20" s="47" t="n">
        <v>45658</v>
      </c>
      <c r="B20" s="29" t="inlineStr">
        <is>
          <t>2025-01</t>
        </is>
      </c>
      <c r="C20" s="48" t="n">
        <v>20233262194.207</v>
      </c>
      <c r="D20" s="51" t="n">
        <v>11048336041.104</v>
      </c>
      <c r="E20" s="48">
        <f>AVERAGE(C18:C20)</f>
        <v/>
      </c>
      <c r="F20" s="51">
        <f>AVERAGE(D18:D20)</f>
        <v/>
      </c>
      <c r="G20" s="29" t="inlineStr">
        <is>
          <t>Historical</t>
        </is>
      </c>
    </row>
    <row r="21" ht="15" customHeight="1" s="30">
      <c r="A21" s="47" t="n">
        <v>45689</v>
      </c>
      <c r="B21" s="29" t="inlineStr">
        <is>
          <t>2025-02</t>
        </is>
      </c>
      <c r="C21" s="48" t="n">
        <v>16639628512.141</v>
      </c>
      <c r="D21" s="51" t="n">
        <v>9637671822.577999</v>
      </c>
      <c r="E21" s="48">
        <f>AVERAGE(C19:C21)</f>
        <v/>
      </c>
      <c r="F21" s="51">
        <f>AVERAGE(D19:D21)</f>
        <v/>
      </c>
      <c r="G21" s="29" t="inlineStr">
        <is>
          <t>Historical</t>
        </is>
      </c>
    </row>
    <row r="22" ht="15" customHeight="1" s="30">
      <c r="A22" s="47" t="n">
        <v>45717</v>
      </c>
      <c r="B22" s="29" t="inlineStr">
        <is>
          <t>2025-03</t>
        </is>
      </c>
      <c r="C22" s="48" t="n">
        <v>28801906734.269</v>
      </c>
      <c r="D22" s="51" t="n">
        <v>15882908700.273</v>
      </c>
      <c r="E22" s="48">
        <f>AVERAGE(C20:C22)</f>
        <v/>
      </c>
      <c r="F22" s="51">
        <f>AVERAGE(D20:D22)</f>
        <v/>
      </c>
      <c r="G22" s="29" t="inlineStr">
        <is>
          <t>Historical</t>
        </is>
      </c>
    </row>
    <row r="23" ht="15" customHeight="1" s="30">
      <c r="A23" s="47" t="n">
        <v>45748</v>
      </c>
      <c r="B23" s="29" t="inlineStr">
        <is>
          <t>2025-04</t>
        </is>
      </c>
      <c r="C23" s="48" t="n">
        <v>30766075958.554</v>
      </c>
      <c r="D23" s="51" t="n">
        <v>17635155944.965</v>
      </c>
      <c r="E23" s="48">
        <f>AVERAGE(C21:C23)</f>
        <v/>
      </c>
      <c r="F23" s="51">
        <f>AVERAGE(D21:D23)</f>
        <v/>
      </c>
      <c r="G23" s="29" t="inlineStr">
        <is>
          <t>Historical</t>
        </is>
      </c>
    </row>
    <row r="24" ht="15" customHeight="1" s="30">
      <c r="A24" s="47" t="n">
        <v>45778</v>
      </c>
      <c r="B24" s="29" t="inlineStr">
        <is>
          <t>2025-05</t>
        </is>
      </c>
      <c r="C24" s="48" t="n">
        <v>24116001795.162</v>
      </c>
      <c r="D24" s="51" t="n">
        <v>12398066817.389</v>
      </c>
      <c r="E24" s="48">
        <f>AVERAGE(C22:C24)</f>
        <v/>
      </c>
      <c r="F24" s="51">
        <f>AVERAGE(D22:D24)</f>
        <v/>
      </c>
      <c r="G24" s="29" t="inlineStr">
        <is>
          <t>Historical</t>
        </is>
      </c>
    </row>
    <row r="25" ht="15" customHeight="1" s="30">
      <c r="A25" s="47" t="n">
        <v>45809</v>
      </c>
      <c r="B25" s="29" t="inlineStr">
        <is>
          <t>2025-06</t>
        </is>
      </c>
      <c r="C25" s="48" t="n">
        <v>22403645262.106</v>
      </c>
      <c r="D25" s="51" t="n">
        <v>11405410410.062</v>
      </c>
      <c r="E25" s="48">
        <f>AVERAGE(C23:C25)</f>
        <v/>
      </c>
      <c r="F25" s="51">
        <f>AVERAGE(D23:D25)</f>
        <v/>
      </c>
      <c r="G25" s="29" t="inlineStr">
        <is>
          <t>Historical</t>
        </is>
      </c>
    </row>
    <row r="26" ht="15" customHeight="1" s="30">
      <c r="A26" s="47" t="n">
        <v>45839</v>
      </c>
      <c r="B26" s="29" t="inlineStr">
        <is>
          <t>2025-07</t>
        </is>
      </c>
      <c r="C26" s="48" t="n">
        <v>1666262305.142</v>
      </c>
      <c r="D26" s="51" t="n">
        <v>929753592.702</v>
      </c>
      <c r="E26" s="48">
        <f>AVERAGE(C24:C26)</f>
        <v/>
      </c>
      <c r="F26" s="51">
        <f>AVERAGE(D24:D26)</f>
        <v/>
      </c>
      <c r="G26" s="29" t="inlineStr">
        <is>
          <t>Historical</t>
        </is>
      </c>
    </row>
    <row r="27" ht="15" customHeight="1" s="30">
      <c r="A27" s="47" t="n">
        <v>45870</v>
      </c>
      <c r="B27" s="29" t="inlineStr">
        <is>
          <t>2025-08</t>
        </is>
      </c>
      <c r="C27" s="48" t="n">
        <v>1995130774.469</v>
      </c>
      <c r="D27" s="51" t="n">
        <v>1155635672.962</v>
      </c>
      <c r="E27" s="48">
        <f>AVERAGE(C25:C27)</f>
        <v/>
      </c>
      <c r="F27" s="51">
        <f>AVERAGE(D25:D27)</f>
        <v/>
      </c>
      <c r="G27" s="29" t="inlineStr">
        <is>
          <t>Historical</t>
        </is>
      </c>
    </row>
    <row r="28" ht="15" customHeight="1" s="30">
      <c r="A28" s="47" t="n">
        <v>45901</v>
      </c>
      <c r="B28" s="29" t="inlineStr">
        <is>
          <t>2025-09</t>
        </is>
      </c>
      <c r="C28" s="48" t="n">
        <v>20797062348.887</v>
      </c>
      <c r="D28" s="51" t="n">
        <v>11007323681.6</v>
      </c>
      <c r="E28" s="48">
        <f>AVERAGE(C26:C28)</f>
        <v/>
      </c>
      <c r="F28" s="51">
        <f>AVERAGE(D26:D28)</f>
        <v/>
      </c>
      <c r="G28" s="29" t="inlineStr">
        <is>
          <t>Historical</t>
        </is>
      </c>
    </row>
    <row r="29" ht="15" customHeight="1" s="30">
      <c r="A29" s="47" t="n">
        <v>45931</v>
      </c>
      <c r="B29" s="29" t="inlineStr">
        <is>
          <t>2025-10</t>
        </is>
      </c>
      <c r="C29" s="48" t="n">
        <v>1890213678.563</v>
      </c>
      <c r="D29" s="51" t="n">
        <v>1023594063.157</v>
      </c>
      <c r="E29" s="48">
        <f>AVERAGE(C27:C29)</f>
        <v/>
      </c>
      <c r="F29" s="51">
        <f>AVERAGE(D27:D29)</f>
        <v/>
      </c>
      <c r="G29" s="29" t="inlineStr">
        <is>
          <t>Historical</t>
        </is>
      </c>
    </row>
    <row r="30" ht="15" customHeight="1" s="30">
      <c r="A30" s="47" t="n">
        <v>45962</v>
      </c>
      <c r="B30" s="29" t="inlineStr">
        <is>
          <t>2025-11</t>
        </is>
      </c>
      <c r="E30" s="48">
        <f>AVERAGE(C27:C29)</f>
        <v/>
      </c>
      <c r="F30" s="51">
        <f>AVERAGE(D27:D29)</f>
        <v/>
      </c>
      <c r="G30" s="50" t="inlineStr">
        <is>
          <t>Forecast</t>
        </is>
      </c>
    </row>
    <row r="31" ht="15" customHeight="1" s="30">
      <c r="A31" s="47" t="n">
        <v>45992</v>
      </c>
      <c r="B31" s="29" t="inlineStr">
        <is>
          <t>2025-12</t>
        </is>
      </c>
      <c r="E31" s="48">
        <f>AVERAGE(C28:C30)</f>
        <v/>
      </c>
      <c r="F31" s="51">
        <f>AVERAGE(D28:D30)</f>
        <v/>
      </c>
      <c r="G31" s="50" t="inlineStr">
        <is>
          <t>Forecast</t>
        </is>
      </c>
    </row>
    <row r="32" ht="15" customHeight="1" s="30">
      <c r="A32" s="47" t="n">
        <v>46023</v>
      </c>
      <c r="B32" s="29" t="inlineStr">
        <is>
          <t>2026-01</t>
        </is>
      </c>
      <c r="E32" s="48">
        <f>AVERAGE(C29:C31)</f>
        <v/>
      </c>
      <c r="F32" s="51">
        <f>AVERAGE(D29:D31)</f>
        <v/>
      </c>
      <c r="G32" s="50" t="inlineStr">
        <is>
          <t>Forecast</t>
        </is>
      </c>
    </row>
    <row r="33"/>
    <row r="35" ht="15" customHeight="1" s="30">
      <c r="A35" s="34" t="inlineStr">
        <is>
          <t>Key Insights:</t>
        </is>
      </c>
    </row>
    <row r="36" ht="15" customHeight="1" s="30">
      <c r="A36" s="29" t="inlineStr">
        <is>
          <t>• BRICS oil imports reflect energy security strategies and economic growth</t>
        </is>
      </c>
    </row>
    <row r="37" ht="15" customHeight="1" s="30">
      <c r="A37" s="29" t="inlineStr">
        <is>
          <t>• China and India drive majority of BRICS crude oil demand</t>
        </is>
      </c>
    </row>
    <row r="38" ht="15" customHeight="1" s="30">
      <c r="A38" s="29" t="inlineStr">
        <is>
          <t>• Shift towards non-USD oil settlements (petroyuan) may impact USD dominance</t>
        </is>
      </c>
    </row>
    <row r="39" ht="15" customHeight="1" s="30">
      <c r="A39" s="29" t="inlineStr">
        <is>
          <t>• Energy commodity flows are key indicators of global economic power shifts</t>
        </is>
      </c>
    </row>
  </sheetData>
  <mergeCells count="6">
    <mergeCell ref="A36:G36"/>
    <mergeCell ref="A1:G1"/>
    <mergeCell ref="A3:G3"/>
    <mergeCell ref="A39:G39"/>
    <mergeCell ref="A38:G38"/>
    <mergeCell ref="A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2025-12-31T12:38:36Z</dcterms:created>
  <dcterms:modified xmlns:dcterms="http://purl.org/dc/terms/" xmlns:xsi="http://www.w3.org/2001/XMLSchema-instance" xsi:type="dcterms:W3CDTF">2025-12-31T12:51:32Z</dcterms:modified>
  <cp:revision>0</cp:revision>
</cp:coreProperties>
</file>